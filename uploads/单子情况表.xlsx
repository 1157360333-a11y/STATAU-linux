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6132\Desktop\"/>
    </mc:Choice>
  </mc:AlternateContent>
  <xr:revisionPtr revIDLastSave="0" documentId="13_ncr:1_{5FC3B3FC-221B-4FB9-9A7D-D7DC04396E5B}" xr6:coauthVersionLast="47" xr6:coauthVersionMax="47" xr10:uidLastSave="{00000000-0000-0000-0000-000000000000}"/>
  <bookViews>
    <workbookView xWindow="-98" yWindow="-98" windowWidth="19396" windowHeight="11596" activeTab="1" xr2:uid="{00000000-000D-0000-FFFF-FFFF00000000}"/>
  </bookViews>
  <sheets>
    <sheet name="内部单" sheetId="1" r:id="rId1"/>
    <sheet name="外部单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" l="1"/>
  <c r="M4" i="2"/>
  <c r="J4" i="2"/>
  <c r="M3" i="2"/>
  <c r="J3" i="2"/>
  <c r="J2" i="2"/>
  <c r="M2" i="1"/>
  <c r="M3" i="1"/>
</calcChain>
</file>

<file path=xl/sharedStrings.xml><?xml version="1.0" encoding="utf-8"?>
<sst xmlns="http://schemas.openxmlformats.org/spreadsheetml/2006/main" count="44" uniqueCount="28">
  <si>
    <t>单编号</t>
  </si>
  <si>
    <t>订单总金额</t>
  </si>
  <si>
    <t>放单总金额</t>
  </si>
  <si>
    <t>外部平台30%</t>
  </si>
  <si>
    <t>接单员65%</t>
  </si>
  <si>
    <t>谈单员10%</t>
  </si>
  <si>
    <t>单子信息备注</t>
  </si>
  <si>
    <t>下单时间</t>
  </si>
  <si>
    <t>完单时间</t>
  </si>
  <si>
    <t>应结算时间</t>
  </si>
  <si>
    <t>结算情况</t>
  </si>
  <si>
    <t>应结算但未结算</t>
  </si>
  <si>
    <t>总利润</t>
  </si>
  <si>
    <t>a101</t>
  </si>
  <si>
    <t>追光</t>
  </si>
  <si>
    <t>200，python，30号交付</t>
  </si>
  <si>
    <t>a102</t>
  </si>
  <si>
    <t>300，python，一周内</t>
  </si>
  <si>
    <t>b101</t>
  </si>
  <si>
    <t>b102</t>
  </si>
  <si>
    <t>外部平台70%</t>
    <phoneticPr fontId="1" type="noConversion"/>
  </si>
  <si>
    <t>拟合肚</t>
    <phoneticPr fontId="1" type="noConversion"/>
  </si>
  <si>
    <t>dasrb</t>
    <phoneticPr fontId="1" type="noConversion"/>
  </si>
  <si>
    <t>商机（订单总金额35%）</t>
    <phoneticPr fontId="1" type="noConversion"/>
  </si>
  <si>
    <t>追光</t>
    <phoneticPr fontId="1" type="noConversion"/>
  </si>
  <si>
    <t>接单员60%</t>
    <phoneticPr fontId="1" type="noConversion"/>
  </si>
  <si>
    <t>无</t>
    <phoneticPr fontId="1" type="noConversion"/>
  </si>
  <si>
    <t>b103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</si>
</sst>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22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/>
    <xf numFmtId="22" fontId="3" fillId="0" borderId="0" xfId="0" applyNumberFormat="1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zoomScale="70" zoomScaleNormal="70" workbookViewId="0">
      <selection activeCell="L3" sqref="L3"/>
    </sheetView>
  </sheetViews>
  <sheetFormatPr defaultRowHeight="13.9" x14ac:dyDescent="0.4"/>
  <cols>
    <col min="10" max="10" width="15.796875" customWidth="1"/>
  </cols>
  <sheetData>
    <row r="1" spans="1:13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x14ac:dyDescent="0.4">
      <c r="A2" s="2" t="s">
        <v>13</v>
      </c>
      <c r="B2" s="2">
        <v>200</v>
      </c>
      <c r="C2" s="2">
        <v>200</v>
      </c>
      <c r="D2" s="2"/>
      <c r="E2" s="2" t="s">
        <v>14</v>
      </c>
      <c r="F2" s="2"/>
      <c r="G2" s="2" t="s">
        <v>15</v>
      </c>
      <c r="H2" s="3">
        <v>45985.534722222197</v>
      </c>
      <c r="I2" s="4">
        <v>45985.569444444402</v>
      </c>
      <c r="J2" s="3">
        <v>45988.569444444445</v>
      </c>
      <c r="K2" s="2">
        <v>1</v>
      </c>
      <c r="L2" s="2">
        <v>0</v>
      </c>
      <c r="M2" s="5">
        <f>IF(D2="",IF(F2="",C2*(1-0.65),C2*(1-0.75)),C2*(1-0.7))</f>
        <v>70</v>
      </c>
    </row>
    <row r="3" spans="1:13" x14ac:dyDescent="0.4">
      <c r="A3" s="2" t="s">
        <v>16</v>
      </c>
      <c r="B3" s="2">
        <v>300</v>
      </c>
      <c r="C3" s="2">
        <v>300</v>
      </c>
      <c r="D3" s="2"/>
      <c r="E3" s="2" t="s">
        <v>14</v>
      </c>
      <c r="F3" s="2"/>
      <c r="G3" s="2" t="s">
        <v>17</v>
      </c>
      <c r="H3" s="3">
        <v>45986.706250000003</v>
      </c>
      <c r="I3" s="4">
        <v>45983.706250000003</v>
      </c>
      <c r="J3" s="3">
        <v>45986.706250000003</v>
      </c>
      <c r="K3" s="2"/>
      <c r="L3" s="2">
        <v>1</v>
      </c>
      <c r="M3" s="5">
        <f>IF(D3="",IF(F3="",C3*(1-0.65),C3*(1-0.75)),C3*(1-0.7))</f>
        <v>105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F610-8C8E-4A5E-BD12-53DDD40119DE}">
  <dimension ref="A1:M4"/>
  <sheetViews>
    <sheetView tabSelected="1" zoomScale="70" zoomScaleNormal="70" workbookViewId="0">
      <selection activeCell="M3" sqref="M3"/>
    </sheetView>
  </sheetViews>
  <sheetFormatPr defaultRowHeight="13.9" x14ac:dyDescent="0.4"/>
  <cols>
    <col min="2" max="2" width="11.1328125" customWidth="1"/>
    <col min="4" max="4" width="19.6640625" customWidth="1"/>
    <col min="5" max="5" width="14.1328125" customWidth="1"/>
    <col min="8" max="8" width="15.1328125" bestFit="1" customWidth="1"/>
    <col min="9" max="9" width="13.59765625" customWidth="1"/>
    <col min="10" max="10" width="20.1328125" customWidth="1"/>
  </cols>
  <sheetData>
    <row r="1" spans="1:13" x14ac:dyDescent="0.4">
      <c r="A1" s="2" t="s">
        <v>0</v>
      </c>
      <c r="B1" s="2" t="s">
        <v>1</v>
      </c>
      <c r="C1" s="2" t="s">
        <v>2</v>
      </c>
      <c r="D1" s="2" t="s">
        <v>23</v>
      </c>
      <c r="E1" s="2" t="s">
        <v>20</v>
      </c>
      <c r="F1" s="2" t="s">
        <v>25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spans="1:13" x14ac:dyDescent="0.4">
      <c r="A2" s="2" t="s">
        <v>18</v>
      </c>
      <c r="B2" s="2">
        <v>200</v>
      </c>
      <c r="C2" s="2">
        <v>200</v>
      </c>
      <c r="D2" s="2" t="s">
        <v>22</v>
      </c>
      <c r="F2" s="2" t="s">
        <v>24</v>
      </c>
      <c r="G2" s="2" t="s">
        <v>15</v>
      </c>
      <c r="H2" s="3">
        <v>45985.534722222197</v>
      </c>
      <c r="I2" s="4">
        <v>45985.569444444402</v>
      </c>
      <c r="J2" s="3">
        <f>I2+3</f>
        <v>45988.569444444402</v>
      </c>
      <c r="K2" s="2">
        <v>1</v>
      </c>
      <c r="L2" s="2">
        <v>0</v>
      </c>
      <c r="M2" s="5">
        <f>IF(E2="",B2*0.65-C2*0.6,B2*0.65-C2*0.7)</f>
        <v>10</v>
      </c>
    </row>
    <row r="3" spans="1:13" x14ac:dyDescent="0.4">
      <c r="A3" s="2" t="s">
        <v>19</v>
      </c>
      <c r="B3" s="2">
        <v>300</v>
      </c>
      <c r="C3" s="2">
        <v>300</v>
      </c>
      <c r="D3" s="2" t="s">
        <v>22</v>
      </c>
      <c r="F3" s="2" t="s">
        <v>24</v>
      </c>
      <c r="G3" s="2" t="s">
        <v>17</v>
      </c>
      <c r="H3" s="3">
        <v>45986.706250000003</v>
      </c>
      <c r="I3" s="4">
        <v>45983.706250000003</v>
      </c>
      <c r="J3" s="3">
        <f t="shared" ref="J3:J4" si="0">I3+3</f>
        <v>45986.706250000003</v>
      </c>
      <c r="K3" s="2"/>
      <c r="L3" s="2">
        <v>1</v>
      </c>
      <c r="M3" s="5">
        <f t="shared" ref="M3:M4" si="1">IF(E3="",B3*0.65-C3*0.6,B3*0.65-C3*0.7)</f>
        <v>15</v>
      </c>
    </row>
    <row r="4" spans="1:13" ht="14.25" x14ac:dyDescent="0.4">
      <c r="A4" s="2" t="s">
        <v>27</v>
      </c>
      <c r="B4" s="2">
        <v>300</v>
      </c>
      <c r="C4" s="2">
        <v>250</v>
      </c>
      <c r="D4" s="2" t="s">
        <v>22</v>
      </c>
      <c r="E4" s="6" t="s">
        <v>21</v>
      </c>
      <c r="F4" s="5"/>
      <c r="G4" s="8" t="s">
        <v>26</v>
      </c>
      <c r="H4" s="7">
        <v>45998.574432754627</v>
      </c>
      <c r="I4" s="4"/>
      <c r="J4" s="3">
        <f t="shared" si="0"/>
        <v>3</v>
      </c>
      <c r="K4" s="5"/>
      <c r="L4" s="5"/>
      <c r="M4" s="5">
        <f t="shared" si="1"/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内部单</vt:lpstr>
      <vt:lpstr>外部单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钱心情</dc:creator>
  <cp:lastModifiedBy>心情 钱</cp:lastModifiedBy>
  <dcterms:created xsi:type="dcterms:W3CDTF">2015-06-05T18:19:34Z</dcterms:created>
  <dcterms:modified xsi:type="dcterms:W3CDTF">2025-12-07T07:54:51Z</dcterms:modified>
</cp:coreProperties>
</file>